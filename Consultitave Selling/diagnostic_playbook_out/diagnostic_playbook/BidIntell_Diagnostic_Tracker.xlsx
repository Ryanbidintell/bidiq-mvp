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Patterns Dashboard" sheetId="3" state="visible" r:id="rId3"/>
    <sheet xmlns:r="http://schemas.openxmlformats.org/officeDocument/2006/relationships" name="Outreach Log" sheetId="4" state="visible" r:id="rId4"/>
    <sheet xmlns:r="http://schemas.openxmlformats.org/officeDocument/2006/relationships" name="LinkedIn Posts" sheetId="5" state="visible" r:id="rId5"/>
    <sheet xmlns:r="http://schemas.openxmlformats.org/officeDocument/2006/relationships" name="Weekly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8"/>
    </font>
    <font>
      <name val="Arial"/>
      <b val="1"/>
      <color rgb="00FFFFFF"/>
      <sz val="10"/>
    </font>
    <font>
      <name val="Arial"/>
      <i val="1"/>
      <color rgb="00999999"/>
      <sz val="10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i val="1"/>
      <color rgb="00999999"/>
      <sz val="9"/>
    </font>
    <font>
      <name val="Arial"/>
      <b val="1"/>
      <color rgb="00FFFFFF"/>
      <sz val="18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26522"/>
        <bgColor rgb="00F265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0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1" t="inlineStr">
        <is>
          <t>BIDINTELL DIAGNOSTIC TRACKER</t>
        </is>
      </c>
    </row>
    <row r="2" ht="8" customHeight="1">
      <c r="A2" t="inlineStr"/>
    </row>
    <row r="3">
      <c r="A3" s="2" t="inlineStr">
        <is>
          <t>This workbook tracks every diagnostic conversation you run as part of the BidIntell diagnostic motion.</t>
        </is>
      </c>
    </row>
    <row r="4">
      <c r="A4" s="2" t="inlineStr">
        <is>
          <t>Treat it like a research instrument, not a CRM. The structured cross-prospect dataset is the most valuable asset.</t>
        </is>
      </c>
    </row>
    <row r="5" ht="8" customHeight="1">
      <c r="A5" t="inlineStr"/>
    </row>
    <row r="6" ht="24" customHeight="1">
      <c r="A6" s="3" t="inlineStr">
        <is>
          <t>HOW TO USE</t>
        </is>
      </c>
    </row>
    <row r="7" ht="8" customHeight="1">
      <c r="A7" t="inlineStr"/>
    </row>
    <row r="8">
      <c r="A8" s="2" t="inlineStr">
        <is>
          <t>1. PROSPECTS tab — one row per diagnostic call. Fill in within 1 hour of every call while memory is fresh.</t>
        </is>
      </c>
    </row>
    <row r="9">
      <c r="A9" s="2" t="inlineStr">
        <is>
          <t>2. PATTERNS DASHBOARD tab — refreshes formulas automatically + manual sections you update weekly.</t>
        </is>
      </c>
    </row>
    <row r="10">
      <c r="A10" s="2" t="inlineStr">
        <is>
          <t>3. OUTREACH LOG tab — log every outreach send (email, DM, post). Lets you measure what scripts convert best.</t>
        </is>
      </c>
    </row>
    <row r="11">
      <c r="A11" s="2" t="inlineStr">
        <is>
          <t>4. LINKEDIN POSTS tab — track public post performance separately from individual outreach.</t>
        </is>
      </c>
    </row>
    <row r="12">
      <c r="A12" s="2" t="inlineStr">
        <is>
          <t>5. WEEKLY METRICS tab — fill one row every Friday. Forces weekly reflection.</t>
        </is>
      </c>
    </row>
    <row r="13" ht="8" customHeight="1">
      <c r="A13" t="inlineStr"/>
    </row>
    <row r="14" ht="24" customHeight="1">
      <c r="A14" s="3" t="inlineStr">
        <is>
          <t>DATA HYGIENE RULES</t>
        </is>
      </c>
    </row>
    <row r="15" ht="8" customHeight="1">
      <c r="A15" t="inlineStr"/>
    </row>
    <row r="16">
      <c r="A16" s="2" t="inlineStr">
        <is>
          <t>• Fill the sheet within 1 hour of every call — memory degrades fast.</t>
        </is>
      </c>
    </row>
    <row r="17">
      <c r="A17" s="2" t="inlineStr">
        <is>
          <t>• Use the dropdown values consistently — typing variations break filters and formulas.</t>
        </is>
      </c>
    </row>
    <row r="18">
      <c r="A18" s="2" t="inlineStr">
        <is>
          <t>• Put verbatim quotes in quotation marks. Distinguish what they actually said from your interpretation.</t>
        </is>
      </c>
    </row>
    <row r="19">
      <c r="A19" s="2" t="inlineStr">
        <is>
          <t>• Anonymize before sharing externally (LinkedIn posts, content). Use [Sub A], [Sub B] etc.</t>
        </is>
      </c>
    </row>
    <row r="20">
      <c r="A20" s="2" t="inlineStr">
        <is>
          <t>• Don't delete rows. Mark closed prospects with a reason. The dataset's value is in the full record.</t>
        </is>
      </c>
    </row>
    <row r="21" ht="8" customHeight="1">
      <c r="A21" t="inlineStr"/>
    </row>
    <row r="22" ht="24" customHeight="1">
      <c r="A22" s="3" t="inlineStr">
        <is>
          <t>REMINDER</t>
        </is>
      </c>
    </row>
    <row r="23" ht="8" customHeight="1">
      <c r="A23" t="inlineStr"/>
    </row>
    <row r="24">
      <c r="A24" s="2" t="inlineStr">
        <is>
          <t>This tracker is your unfair advantage. Anyone can build software. Almost no one in this space has talked to 30+ sub</t>
        </is>
      </c>
    </row>
    <row r="25">
      <c r="A25" s="2" t="inlineStr">
        <is>
          <t>owners and captured what they said in structured form. After 30 diagnostics this becomes proprietary research data</t>
        </is>
      </c>
    </row>
    <row r="26">
      <c r="A26" s="2" t="inlineStr">
        <is>
          <t>that has acquirer value, content value, and roadmap value beyond the immediate sales motion.</t>
        </is>
      </c>
    </row>
    <row r="27" ht="8" customHeight="1">
      <c r="A27" t="inlineStr"/>
    </row>
    <row r="28">
      <c r="A28" s="2" t="inlineStr">
        <is>
          <t>Maintain it like the asset it 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6" customWidth="1" min="5" max="5"/>
    <col width="18" customWidth="1" min="6" max="6"/>
    <col width="14" customWidth="1" min="7" max="7"/>
    <col width="18" customWidth="1" min="8" max="8"/>
    <col width="24" customWidth="1" min="9" max="9"/>
    <col width="24" customWidth="1" min="10" max="10"/>
    <col width="14" customWidth="1" min="11" max="11"/>
    <col width="18" customWidth="1" min="12" max="12"/>
    <col width="24" customWidth="1" min="13" max="13"/>
    <col width="12" customWidth="1" min="14" max="14"/>
    <col width="12" customWidth="1" min="15" max="15"/>
    <col width="12" customWidth="1" min="16" max="16"/>
    <col width="24" customWidth="1" min="17" max="17"/>
    <col width="40" customWidth="1" min="18" max="18"/>
    <col width="10" customWidth="1" min="19" max="19"/>
    <col width="10" customWidth="1" min="20" max="20"/>
    <col width="30" customWidth="1" min="21" max="21"/>
    <col width="24" customWidth="1" min="22" max="22"/>
    <col width="16" customWidth="1" min="23" max="23"/>
    <col width="16" customWidth="1" min="24" max="24"/>
    <col width="10" customWidth="1" min="25" max="25"/>
    <col width="30" customWidth="1" min="26" max="26"/>
    <col width="24" customWidth="1" min="27" max="27"/>
    <col width="16" customWidth="1" min="28" max="28"/>
    <col width="50" customWidth="1" min="29" max="29"/>
    <col width="24" customWidth="1" min="30" max="30"/>
    <col width="12" customWidth="1" min="31" max="31"/>
    <col width="40" customWidth="1" min="32" max="32"/>
    <col width="18" customWidth="1" min="33" max="33"/>
    <col width="14" customWidth="1" min="34" max="34"/>
    <col width="22" customWidth="1" min="35" max="35"/>
    <col width="14" customWidth="1" min="36" max="36"/>
    <col width="50" customWidth="1" min="37" max="37"/>
    <col width="22" customWidth="1" min="38" max="38"/>
    <col width="12" customWidth="1" min="39" max="39"/>
    <col width="12" customWidth="1" min="40" max="40"/>
    <col width="24" customWidth="1" min="41" max="41"/>
    <col width="12" customWidth="1" min="42" max="42"/>
    <col width="30" customWidth="1" min="43" max="43"/>
    <col width="12" customWidth="1" min="44" max="44"/>
    <col width="18" customWidth="1" min="45" max="45"/>
    <col width="12" customWidth="1" min="46" max="46"/>
    <col width="24" customWidth="1" min="47" max="47"/>
    <col width="12" customWidth="1" min="48" max="48"/>
    <col width="12" customWidth="1" min="49" max="49"/>
    <col width="12" customWidth="1" min="50" max="50"/>
    <col width="14" customWidth="1" min="51" max="51"/>
    <col width="30" customWidth="1" min="52" max="52"/>
    <col width="40" customWidth="1" min="53" max="53"/>
    <col width="14" customWidth="1" min="54" max="54"/>
    <col width="14" customWidth="1" min="55" max="55"/>
    <col width="40" customWidth="1" min="56" max="56"/>
  </cols>
  <sheetData>
    <row r="1" ht="22" customHeight="1">
      <c r="A1" s="4" t="inlineStr">
        <is>
          <t>IDENTITY &amp; SOURCE</t>
        </is>
      </c>
      <c r="N1" s="4" t="inlineStr">
        <is>
          <t>CALL INFO</t>
        </is>
      </c>
      <c r="T1" s="4" t="inlineStr">
        <is>
          <t>Q1 — WINS</t>
        </is>
      </c>
      <c r="Y1" s="4" t="inlineStr">
        <is>
          <t>Q2 — LOSSES</t>
        </is>
      </c>
      <c r="AC1" s="4" t="inlineStr">
        <is>
          <t>Q3 — REGRETS (THE GOLD)</t>
        </is>
      </c>
      <c r="AG1" s="4" t="inlineStr">
        <is>
          <t>Q4 — DECISION PROCESS</t>
        </is>
      </c>
      <c r="AK1" s="4" t="inlineStr">
        <is>
          <t>Q5 — THE WISH (ROADMAP)</t>
        </is>
      </c>
      <c r="AM1" s="4" t="inlineStr">
        <is>
          <t>MEMO</t>
        </is>
      </c>
      <c r="AR1" s="4" t="inlineStr">
        <is>
          <t>FOLLOW-UP</t>
        </is>
      </c>
      <c r="AV1" s="4" t="inlineStr">
        <is>
          <t>CONVERSION</t>
        </is>
      </c>
      <c r="BA1" s="4" t="inlineStr">
        <is>
          <t>QUALITATIVE</t>
        </is>
      </c>
    </row>
    <row r="2" ht="36" customHeight="1">
      <c r="A2" s="5" t="inlineStr">
        <is>
          <t>Prospect ID</t>
        </is>
      </c>
      <c r="B2" s="5" t="inlineStr">
        <is>
          <t>First Name</t>
        </is>
      </c>
      <c r="C2" s="5" t="inlineStr">
        <is>
          <t>Last Name</t>
        </is>
      </c>
      <c r="D2" s="5" t="inlineStr">
        <is>
          <t>Company</t>
        </is>
      </c>
      <c r="E2" s="5" t="inlineStr">
        <is>
          <t>Role</t>
        </is>
      </c>
      <c r="F2" s="5" t="inlineStr">
        <is>
          <t>Trade</t>
        </is>
      </c>
      <c r="G2" s="5" t="inlineStr">
        <is>
          <t>Revenue Band</t>
        </is>
      </c>
      <c r="H2" s="5" t="inlineStr">
        <is>
          <t>Geography</t>
        </is>
      </c>
      <c r="I2" s="5" t="inlineStr">
        <is>
          <t>LinkedIn URL</t>
        </is>
      </c>
      <c r="J2" s="5" t="inlineStr">
        <is>
          <t>Email</t>
        </is>
      </c>
      <c r="K2" s="5" t="inlineStr">
        <is>
          <t>Phone</t>
        </is>
      </c>
      <c r="L2" s="5" t="inlineStr">
        <is>
          <t>Source</t>
        </is>
      </c>
      <c r="M2" s="5" t="inlineStr">
        <is>
          <t>Source detail</t>
        </is>
      </c>
      <c r="N2" s="5" t="inlineStr">
        <is>
          <t>Date booked</t>
        </is>
      </c>
      <c r="O2" s="5" t="inlineStr">
        <is>
          <t>Date of call</t>
        </is>
      </c>
      <c r="P2" s="5" t="inlineStr">
        <is>
          <t>Call duration (min)</t>
        </is>
      </c>
      <c r="Q2" s="5" t="inlineStr">
        <is>
          <t>Granola transcript link</t>
        </is>
      </c>
      <c r="R2" s="5" t="inlineStr">
        <is>
          <t>Intake Q4 answer</t>
        </is>
      </c>
      <c r="S2" s="5" t="inlineStr">
        <is>
          <t>No-show?</t>
        </is>
      </c>
      <c r="T2" s="5" t="inlineStr">
        <is>
          <t>Win count discussed</t>
        </is>
      </c>
      <c r="U2" s="5" t="inlineStr">
        <is>
          <t>GCs they win with</t>
        </is>
      </c>
      <c r="V2" s="5" t="inlineStr">
        <is>
          <t>Win attribution</t>
        </is>
      </c>
      <c r="W2" s="5" t="inlineStr">
        <is>
          <t>Win concentration</t>
        </is>
      </c>
      <c r="X2" s="5" t="inlineStr">
        <is>
          <t>Win self-awareness</t>
        </is>
      </c>
      <c r="Y2" s="5" t="inlineStr">
        <is>
          <t>Loss count discussed</t>
        </is>
      </c>
      <c r="Z2" s="5" t="inlineStr">
        <is>
          <t>GCs they lose to</t>
        </is>
      </c>
      <c r="AA2" s="5" t="inlineStr">
        <is>
          <t>Loss pattern</t>
        </is>
      </c>
      <c r="AB2" s="5" t="inlineStr">
        <is>
          <t>Loss self-awareness</t>
        </is>
      </c>
      <c r="AC2" s="5" t="inlineStr">
        <is>
          <t>Regret stories</t>
        </is>
      </c>
      <c r="AD2" s="5" t="inlineStr">
        <is>
          <t>Common regret pattern</t>
        </is>
      </c>
      <c r="AE2" s="5" t="inlineStr">
        <is>
          <t>Hours wasted (mentioned)</t>
        </is>
      </c>
      <c r="AF2" s="5" t="inlineStr">
        <is>
          <t>Verbatim emotional quote</t>
        </is>
      </c>
      <c r="AG2" s="5" t="inlineStr">
        <is>
          <t>Decision-maker</t>
        </is>
      </c>
      <c r="AH2" s="5" t="inlineStr">
        <is>
          <t>Decision time spent</t>
        </is>
      </c>
      <c r="AI2" s="5" t="inlineStr">
        <is>
          <t>Tools used today</t>
        </is>
      </c>
      <c r="AJ2" s="5" t="inlineStr">
        <is>
          <t>Has a real process?</t>
        </is>
      </c>
      <c r="AK2" s="5" t="inlineStr">
        <is>
          <t>Wish — verbatim</t>
        </is>
      </c>
      <c r="AL2" s="5" t="inlineStr">
        <is>
          <t>Wish category</t>
        </is>
      </c>
      <c r="AM2" s="5" t="inlineStr">
        <is>
          <t>Memo type</t>
        </is>
      </c>
      <c r="AN2" s="5" t="inlineStr">
        <is>
          <t>Memo date sent</t>
        </is>
      </c>
      <c r="AO2" s="5" t="inlineStr">
        <is>
          <t>Memo file link</t>
        </is>
      </c>
      <c r="AP2" s="5" t="inlineStr">
        <is>
          <t>Memo response received?</t>
        </is>
      </c>
      <c r="AQ2" s="5" t="inlineStr">
        <is>
          <t>Memo response gist</t>
        </is>
      </c>
      <c r="AR2" s="5" t="inlineStr">
        <is>
          <t>Follow-up email date</t>
        </is>
      </c>
      <c r="AS2" s="5" t="inlineStr">
        <is>
          <t>Follow-up response</t>
        </is>
      </c>
      <c r="AT2" s="5" t="inlineStr">
        <is>
          <t>Last touch date</t>
        </is>
      </c>
      <c r="AU2" s="5" t="inlineStr">
        <is>
          <t>Next action</t>
        </is>
      </c>
      <c r="AV2" s="5" t="inlineStr">
        <is>
          <t>Trial started?</t>
        </is>
      </c>
      <c r="AW2" s="5" t="inlineStr">
        <is>
          <t>Bid scored for them?</t>
        </is>
      </c>
      <c r="AX2" s="5" t="inlineStr">
        <is>
          <t>Converted to paid?</t>
        </is>
      </c>
      <c r="AY2" s="5" t="inlineStr">
        <is>
          <t>Paid plan tier</t>
        </is>
      </c>
      <c r="AZ2" s="5" t="inlineStr">
        <is>
          <t>Reason didn't convert</t>
        </is>
      </c>
      <c r="BA2" s="5" t="inlineStr">
        <is>
          <t>Quote of the call</t>
        </is>
      </c>
      <c r="BB2" s="5" t="inlineStr">
        <is>
          <t>Fit rating</t>
        </is>
      </c>
      <c r="BC2" s="5" t="inlineStr">
        <is>
          <t>Energy rating</t>
        </is>
      </c>
      <c r="BD2" s="5" t="inlineStr">
        <is>
          <t>Notes for next conversation</t>
        </is>
      </c>
    </row>
    <row r="3" ht="18" customHeight="1">
      <c r="A3" s="6" t="inlineStr">
        <is>
          <t>P001, P002...</t>
        </is>
      </c>
      <c r="B3" s="6" t="inlineStr"/>
      <c r="C3" s="6" t="inlineStr"/>
      <c r="D3" s="6" t="inlineStr"/>
      <c r="E3" s="6" t="inlineStr">
        <is>
          <t>Owner/President/VP</t>
        </is>
      </c>
      <c r="F3" s="6" t="inlineStr">
        <is>
          <t>Div 10, flooring, etc</t>
        </is>
      </c>
      <c r="G3" s="6" t="inlineStr">
        <is>
          <t>Dropdown</t>
        </is>
      </c>
      <c r="H3" s="6" t="inlineStr">
        <is>
          <t>City, State</t>
        </is>
      </c>
      <c r="I3" s="6" t="inlineStr"/>
      <c r="J3" s="6" t="inlineStr"/>
      <c r="K3" s="6" t="inlineStr"/>
      <c r="L3" s="6" t="inlineStr">
        <is>
          <t>Dropdown</t>
        </is>
      </c>
      <c r="M3" s="6" t="inlineStr"/>
      <c r="N3" s="6" t="inlineStr"/>
      <c r="O3" s="6" t="inlineStr"/>
      <c r="P3" s="6" t="inlineStr"/>
      <c r="Q3" s="6" t="inlineStr"/>
      <c r="R3" s="6" t="inlineStr">
        <is>
          <t>Verbatim from form</t>
        </is>
      </c>
      <c r="S3" s="6" t="inlineStr">
        <is>
          <t>Y/N</t>
        </is>
      </c>
      <c r="T3" s="6" t="inlineStr"/>
      <c r="U3" s="6" t="inlineStr">
        <is>
          <t>Comma list</t>
        </is>
      </c>
      <c r="V3" s="6" t="inlineStr">
        <is>
          <t>Multi-select</t>
        </is>
      </c>
      <c r="W3" s="6" t="inlineStr">
        <is>
          <t>Dropdown</t>
        </is>
      </c>
      <c r="X3" s="6" t="inlineStr">
        <is>
          <t>Dropdown</t>
        </is>
      </c>
      <c r="Y3" s="6" t="inlineStr"/>
      <c r="Z3" s="6" t="inlineStr">
        <is>
          <t>Comma list</t>
        </is>
      </c>
      <c r="AA3" s="6" t="inlineStr">
        <is>
          <t>Multi-select</t>
        </is>
      </c>
      <c r="AB3" s="6" t="inlineStr">
        <is>
          <t>Dropdown</t>
        </is>
      </c>
      <c r="AC3" s="6" t="inlineStr">
        <is>
          <t>Verbatim</t>
        </is>
      </c>
      <c r="AD3" s="6" t="inlineStr">
        <is>
          <t>Multi-select</t>
        </is>
      </c>
      <c r="AE3" s="6" t="inlineStr"/>
      <c r="AF3" s="6" t="inlineStr"/>
      <c r="AG3" s="6" t="inlineStr">
        <is>
          <t>Dropdown</t>
        </is>
      </c>
      <c r="AH3" s="6" t="inlineStr">
        <is>
          <t>Dropdown</t>
        </is>
      </c>
      <c r="AI3" s="6" t="inlineStr">
        <is>
          <t>Multi-select</t>
        </is>
      </c>
      <c r="AJ3" s="6" t="inlineStr">
        <is>
          <t>Dropdown</t>
        </is>
      </c>
      <c r="AK3" s="6" t="inlineStr"/>
      <c r="AL3" s="6" t="inlineStr">
        <is>
          <t>Dropdown</t>
        </is>
      </c>
      <c r="AM3" s="6" t="inlineStr">
        <is>
          <t>1-page / 5-7</t>
        </is>
      </c>
      <c r="AN3" s="6" t="inlineStr"/>
      <c r="AO3" s="6" t="inlineStr"/>
      <c r="AP3" s="6" t="inlineStr">
        <is>
          <t>Y/N/Pending</t>
        </is>
      </c>
      <c r="AQ3" s="6" t="inlineStr"/>
      <c r="AR3" s="6" t="inlineStr"/>
      <c r="AS3" s="6" t="inlineStr">
        <is>
          <t>Dropdown</t>
        </is>
      </c>
      <c r="AT3" s="6" t="inlineStr"/>
      <c r="AU3" s="6" t="inlineStr"/>
      <c r="AV3" s="6" t="inlineStr">
        <is>
          <t>Y/N + date</t>
        </is>
      </c>
      <c r="AW3" s="6" t="inlineStr">
        <is>
          <t>Y/N + date</t>
        </is>
      </c>
      <c r="AX3" s="6" t="inlineStr">
        <is>
          <t>Y/N + date</t>
        </is>
      </c>
      <c r="AY3" s="6" t="inlineStr">
        <is>
          <t>Dropdown</t>
        </is>
      </c>
      <c r="AZ3" s="6" t="inlineStr"/>
      <c r="BA3" s="6" t="inlineStr"/>
      <c r="BB3" s="6" t="inlineStr">
        <is>
          <t>Dropdown</t>
        </is>
      </c>
      <c r="BC3" s="6" t="inlineStr">
        <is>
          <t>Dropdown</t>
        </is>
      </c>
      <c r="BD3" s="6" t="inlineStr"/>
    </row>
    <row r="4">
      <c r="A4" s="7" t="inlineStr">
        <is>
          <t>P001</t>
        </is>
      </c>
      <c r="B4" s="7" t="inlineStr">
        <is>
          <t>Sample</t>
        </is>
      </c>
      <c r="C4" s="7" t="inlineStr">
        <is>
          <t>Sub Owner</t>
        </is>
      </c>
      <c r="D4" s="7" t="inlineStr">
        <is>
          <t>Example Flooring Co</t>
        </is>
      </c>
      <c r="E4" s="7" t="inlineStr">
        <is>
          <t>Owner</t>
        </is>
      </c>
      <c r="F4" s="7" t="inlineStr">
        <is>
          <t>Flooring</t>
        </is>
      </c>
      <c r="G4" s="7" t="inlineStr">
        <is>
          <t>$5-10M</t>
        </is>
      </c>
      <c r="H4" s="7" t="inlineStr">
        <is>
          <t>Kansas City, MO</t>
        </is>
      </c>
      <c r="L4" s="7" t="inlineStr">
        <is>
          <t>Warm network</t>
        </is>
      </c>
      <c r="M4" s="7" t="inlineStr">
        <is>
          <t>Met at ASPE meeting</t>
        </is>
      </c>
      <c r="BB4" s="7" t="inlineStr">
        <is>
          <t>Strong ICP</t>
        </is>
      </c>
      <c r="BC4" s="7" t="inlineStr">
        <is>
          <t>Engaged</t>
        </is>
      </c>
    </row>
  </sheetData>
  <mergeCells count="11">
    <mergeCell ref="AG1:AJ1"/>
    <mergeCell ref="AM1:AQ1"/>
    <mergeCell ref="A1:M1"/>
    <mergeCell ref="AV1:AZ1"/>
    <mergeCell ref="AK1:AL1"/>
    <mergeCell ref="T1:X1"/>
    <mergeCell ref="BA1:BD1"/>
    <mergeCell ref="N1:S1"/>
    <mergeCell ref="AC1:AF1"/>
    <mergeCell ref="AR1:AU1"/>
    <mergeCell ref="Y1:AB1"/>
  </mergeCells>
  <dataValidations count="16">
    <dataValidation sqref="G4:G1000" showDropDown="0" showInputMessage="0" showErrorMessage="0" allowBlank="1" errorTitle="Invalid entry" error="Pick from list: &quot;&lt;$2M,$2-5M,$5-10M,$10-20M,$20-50M,$50M+&quot;" type="list">
      <formula1>"&lt;$2M,$2-5M,$5-10M,$10-20M,$20-50M,$50M+"</formula1>
    </dataValidation>
    <dataValidation sqref="L4:L1000" showDropDown="0" showInputMessage="0" showErrorMessage="0" allowBlank="1" errorTitle="Invalid entry" error="Pick from list: &quot;Warm network,Referral,LinkedIn DM,LinkedIn post,Inbound /diagnostic page,Cold&quot;" type="list">
      <formula1>"Warm network,Referral,LinkedIn DM,LinkedIn post,Inbound /diagnostic page,Cold"</formula1>
    </dataValidation>
    <dataValidation sqref="S4:S1000" showDropDown="0" showInputMessage="0" showErrorMessage="0" allowBlank="1" errorTitle="Invalid entry" error="Pick from list: &quot;Yes,No&quot;" type="list">
      <formula1>"Yes,No"</formula1>
    </dataValidation>
    <dataValidation sqref="W4:W1000" showDropDown="0" showInputMessage="0" showErrorMessage="0" allowBlank="1" errorTitle="Invalid entry" error="Pick from list: &quot;Concentrated (1-2 GCs),Moderate,Spread&quot;" type="list">
      <formula1>"Concentrated (1-2 GCs),Moderate,Spread"</formula1>
    </dataValidation>
    <dataValidation sqref="X4:X1000" showDropDown="0" showInputMessage="0" showErrorMessage="0" allowBlank="1" errorTitle="Invalid entry" error="Pick from list: &quot;High,Partial,Low&quot;" type="list">
      <formula1>"High,Partial,Low"</formula1>
    </dataValidation>
    <dataValidation sqref="AB4:AB1000" showDropDown="0" showInputMessage="0" showErrorMessage="0" allowBlank="1" errorTitle="Invalid entry" error="Pick from list: &quot;High,Partial,Low&quot;" type="list">
      <formula1>"High,Partial,Low"</formula1>
    </dataValidation>
    <dataValidation sqref="AG4:AG1000" showDropDown="0" showInputMessage="0" showErrorMessage="0" allowBlank="1" errorTitle="Invalid entry" error="Pick from list: &quot;Owner,Estimator,Committee,Default-yes (no real decision)&quot;" type="list">
      <formula1>"Owner,Estimator,Committee,Default-yes (no real decision)"</formula1>
    </dataValidation>
    <dataValidation sqref="AH4:AH1000" showDropDown="0" showInputMessage="0" showErrorMessage="0" allowBlank="1" errorTitle="Invalid entry" error="Pick from list: &quot;&lt;5 min,5-30 min,&gt;30 min,Unclear&quot;" type="list">
      <formula1>"&lt;5 min,5-30 min,&gt;30 min,Unclear"</formula1>
    </dataValidation>
    <dataValidation sqref="AJ4:AJ1000" showDropDown="0" showInputMessage="0" showErrorMessage="0" allowBlank="1" errorTitle="Invalid entry" error="Pick from list: &quot;Yes,Aspirational,No&quot;" type="list">
      <formula1>"Yes,Aspirational,No"</formula1>
    </dataValidation>
    <dataValidation sqref="AL4:AL1000" showDropDown="0" showInputMessage="0" showErrorMessage="0" allowBlank="1" errorTitle="Invalid entry" error="Pick from list: &quot;GC behavior,Contract risk,Competitor signal,Scope clarity,Timing,Recommendation/score,Other&quot;" type="list">
      <formula1>"GC behavior,Contract risk,Competitor signal,Scope clarity,Timing,Recommendation/score,Other"</formula1>
    </dataValidation>
    <dataValidation sqref="AM4:AM1000" showDropDown="0" showInputMessage="0" showErrorMessage="0" allowBlank="1" errorTitle="Invalid entry" error="Pick from list: &quot;1-page,5-7 page&quot;" type="list">
      <formula1>"1-page,5-7 page"</formula1>
    </dataValidation>
    <dataValidation sqref="AP4:AP1000" showDropDown="0" showInputMessage="0" showErrorMessage="0" allowBlank="1" errorTitle="Invalid entry" error="Pick from list: &quot;Yes,No,Pending&quot;" type="list">
      <formula1>"Yes,No,Pending"</formula1>
    </dataValidation>
    <dataValidation sqref="AS4:AS1000" showDropDown="0" showInputMessage="0" showErrorMessage="0" allowBlank="1" errorTitle="Invalid entry" error="Pick from list: &quot;Sent bid,Asked for trial,Thinking,No reply,Declined&quot;" type="list">
      <formula1>"Sent bid,Asked for trial,Thinking,No reply,Declined"</formula1>
    </dataValidation>
    <dataValidation sqref="AY4:AY1000" showDropDown="0" showInputMessage="0" showErrorMessage="0" allowBlank="1" errorTitle="Invalid entry" error="Pick from list: &quot;Solo,Team,Company,Enterprise,N/A&quot;" type="list">
      <formula1>"Solo,Team,Company,Enterprise,N/A"</formula1>
    </dataValidation>
    <dataValidation sqref="BB4:BB1000" showDropDown="0" showInputMessage="0" showErrorMessage="0" allowBlank="1" errorTitle="Invalid entry" error="Pick from list: &quot;Strong ICP,Mid,Weak&quot;" type="list">
      <formula1>"Strong ICP,Mid,Weak"</formula1>
    </dataValidation>
    <dataValidation sqref="BC4:BC1000" showDropDown="0" showInputMessage="0" showErrorMessage="0" allowBlank="1" errorTitle="Invalid entry" error="Pick from list: &quot;Engaged,Polite,Distracted&quot;" type="list">
      <formula1>"Engaged,Polite,Distracted"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50" customWidth="1" min="3" max="3"/>
  </cols>
  <sheetData>
    <row r="1" ht="28" customHeight="1">
      <c r="A1" s="8" t="inlineStr">
        <is>
          <t>BIDINTELL DIAGNOSTIC — PATTERNS DASHBOARD</t>
        </is>
      </c>
    </row>
    <row r="2">
      <c r="A2" s="9" t="inlineStr">
        <is>
          <t>Update this tab manually every Friday — 10 minutes.</t>
        </is>
      </c>
    </row>
    <row r="4" ht="22" customHeight="1">
      <c r="A4" s="10" t="inlineStr">
        <is>
          <t>TOTALS</t>
        </is>
      </c>
    </row>
    <row r="5">
      <c r="A5" s="11" t="inlineStr">
        <is>
          <t>Total prospects diagnosed</t>
        </is>
      </c>
      <c r="B5" s="12">
        <f>COUNTA(Prospects!A4:A1000)</f>
        <v/>
      </c>
      <c r="C5" s="13" t="inlineStr"/>
    </row>
    <row r="6">
      <c r="A6" s="11" t="inlineStr">
        <is>
          <t>Strong ICP fit</t>
        </is>
      </c>
      <c r="B6" s="12">
        <f>COUNTIF(Prospects!BR:BR,"Strong ICP")</f>
        <v/>
      </c>
      <c r="C6" s="13" t="inlineStr">
        <is>
          <t>Use approx — adjust column letter for Fit rating</t>
        </is>
      </c>
    </row>
    <row r="7">
      <c r="A7" s="11" t="inlineStr">
        <is>
          <t>Mid ICP fit</t>
        </is>
      </c>
      <c r="B7" s="12">
        <f>COUNTIF(Prospects!BR:BR,"Mid")</f>
        <v/>
      </c>
      <c r="C7" s="13" t="inlineStr"/>
    </row>
    <row r="8">
      <c r="A8" s="11" t="inlineStr">
        <is>
          <t>Weak ICP fit</t>
        </is>
      </c>
      <c r="B8" s="12">
        <f>COUNTIF(Prospects!BR:BR,"Weak")</f>
        <v/>
      </c>
      <c r="C8" s="13" t="inlineStr"/>
    </row>
    <row r="9">
      <c r="A9" s="11" t="inlineStr">
        <is>
          <t>Memos delivered</t>
        </is>
      </c>
      <c r="B9" s="12">
        <f>COUNTA(Prospects!AY:AY)-1</f>
        <v/>
      </c>
      <c r="C9" s="13" t="inlineStr">
        <is>
          <t>Memo date sent column</t>
        </is>
      </c>
    </row>
    <row r="10">
      <c r="A10" s="11" t="inlineStr">
        <is>
          <t>Follow-ups sent</t>
        </is>
      </c>
      <c r="B10" s="12">
        <f>COUNTA(Prospects!BB:BB)-1</f>
        <v/>
      </c>
      <c r="C10" s="13" t="inlineStr">
        <is>
          <t>Follow-up date column</t>
        </is>
      </c>
    </row>
    <row r="11">
      <c r="A11" s="11" t="inlineStr">
        <is>
          <t>Trials started</t>
        </is>
      </c>
      <c r="B11" s="12">
        <f>COUNTIF(Prospects!BG:BG,"Yes*")</f>
        <v/>
      </c>
      <c r="C11" s="13" t="inlineStr"/>
    </row>
    <row r="12">
      <c r="A12" s="11" t="inlineStr">
        <is>
          <t>Paid conversions</t>
        </is>
      </c>
      <c r="B12" s="12">
        <f>COUNTIF(Prospects!BI:BI,"Yes*")</f>
        <v/>
      </c>
      <c r="C12" s="13" t="inlineStr"/>
    </row>
    <row r="14" ht="22" customHeight="1">
      <c r="A14" s="14" t="inlineStr">
        <is>
          <t>CONVERSION RATES</t>
        </is>
      </c>
    </row>
    <row r="15">
      <c r="A15" s="11" t="inlineStr">
        <is>
          <t>Memo → Follow-up reply rate</t>
        </is>
      </c>
      <c r="B15" s="15">
        <f>IFERROR(COUNTIF(Prospects!BC:BC,"Sent bid")/COUNTA(Prospects!BB:BB)-1,0)</f>
        <v/>
      </c>
      <c r="C15" s="13" t="inlineStr">
        <is>
          <t>Adjust column letters as needed</t>
        </is>
      </c>
    </row>
    <row r="16">
      <c r="A16" s="11" t="inlineStr">
        <is>
          <t>Follow-up → Trial rate</t>
        </is>
      </c>
      <c r="B16" s="15">
        <f>IFERROR(COUNTIF(Prospects!BG:BG,"Yes*")/COUNTIF(Prospects!BC:BC,"Sent bid"),0)</f>
        <v/>
      </c>
      <c r="C16" s="13" t="inlineStr"/>
    </row>
    <row r="17">
      <c r="A17" s="11" t="inlineStr">
        <is>
          <t>Trial → Paid rate</t>
        </is>
      </c>
      <c r="B17" s="15">
        <f>IFERROR(COUNTIF(Prospects!BI:BI,"Yes*")/COUNTIF(Prospects!BG:BG,"Yes*"),0)</f>
        <v/>
      </c>
      <c r="C17" s="13" t="inlineStr"/>
    </row>
    <row r="18">
      <c r="A18" s="11" t="inlineStr">
        <is>
          <t>Overall: Diagnostic → Paid</t>
        </is>
      </c>
      <c r="B18" s="15">
        <f>IFERROR(COUNTIF(Prospects!BI:BI,"Yes*")/COUNTA(Prospects!A4:A1000),0)</f>
        <v/>
      </c>
      <c r="C18" s="13" t="inlineStr"/>
    </row>
    <row r="20" ht="22" customHeight="1">
      <c r="A20" s="14" t="inlineStr">
        <is>
          <t>TOP REGRET PATTERNS (review monthly)</t>
        </is>
      </c>
    </row>
    <row r="21">
      <c r="A21" s="11" t="inlineStr">
        <is>
          <t>Most common regret pattern across all diagnostics</t>
        </is>
      </c>
      <c r="B21" t="inlineStr">
        <is>
          <t>[fill manually]</t>
        </is>
      </c>
    </row>
    <row r="22">
      <c r="A22" s="11" t="inlineStr">
        <is>
          <t>Second most common</t>
        </is>
      </c>
      <c r="B22" t="inlineStr">
        <is>
          <t>[fill manually]</t>
        </is>
      </c>
    </row>
    <row r="23">
      <c r="A23" s="11" t="inlineStr">
        <is>
          <t>Third most common</t>
        </is>
      </c>
      <c r="B23" t="inlineStr">
        <is>
          <t>[fill manually]</t>
        </is>
      </c>
    </row>
    <row r="25" ht="22" customHeight="1">
      <c r="A25" s="14" t="inlineStr">
        <is>
          <t>TOP WISH CATEGORIES</t>
        </is>
      </c>
    </row>
    <row r="26">
      <c r="A26" s="11" t="inlineStr">
        <is>
          <t>Most-mentioned wish category</t>
        </is>
      </c>
      <c r="B26" t="inlineStr">
        <is>
          <t>[fill manually]</t>
        </is>
      </c>
    </row>
    <row r="27">
      <c r="A27" s="11" t="inlineStr">
        <is>
          <t>Second</t>
        </is>
      </c>
      <c r="B27" t="inlineStr">
        <is>
          <t>[fill manually]</t>
        </is>
      </c>
    </row>
    <row r="28">
      <c r="A28" s="11" t="inlineStr">
        <is>
          <t>Third</t>
        </is>
      </c>
      <c r="B28" t="inlineStr">
        <is>
          <t>[fill manually]</t>
        </is>
      </c>
    </row>
    <row r="30" ht="22" customHeight="1">
      <c r="A30" s="14" t="inlineStr">
        <is>
          <t>GCs MENTIONED MOST OFTEN</t>
        </is>
      </c>
    </row>
    <row r="31">
      <c r="A31" s="11" t="inlineStr">
        <is>
          <t>GC name</t>
        </is>
      </c>
      <c r="B31" s="11" t="inlineStr">
        <is>
          <t># of prospects mentioning</t>
        </is>
      </c>
      <c r="C31" s="11" t="inlineStr">
        <is>
          <t>Notes (stalking-horse pattern, loyalty pattern, etc)</t>
        </is>
      </c>
    </row>
  </sheetData>
  <mergeCells count="7">
    <mergeCell ref="A25:C25"/>
    <mergeCell ref="A1:C1"/>
    <mergeCell ref="A14:C14"/>
    <mergeCell ref="A30:C30"/>
    <mergeCell ref="A4:C4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2" customWidth="1" min="5" max="5"/>
    <col width="14" customWidth="1" min="6" max="6"/>
    <col width="14" customWidth="1" min="7" max="7"/>
    <col width="50" customWidth="1" min="8" max="8"/>
  </cols>
  <sheetData>
    <row r="1" ht="24" customHeight="1">
      <c r="A1" s="10" t="inlineStr">
        <is>
          <t>Date sent</t>
        </is>
      </c>
      <c r="B1" s="10" t="inlineStr">
        <is>
          <t>Channel</t>
        </is>
      </c>
      <c r="C1" s="10" t="inlineStr">
        <is>
          <t>Recipient</t>
        </is>
      </c>
      <c r="D1" s="10" t="inlineStr">
        <is>
          <t>Script used</t>
        </is>
      </c>
      <c r="E1" s="10" t="inlineStr">
        <is>
          <t>Reply received?</t>
        </is>
      </c>
      <c r="F1" s="10" t="inlineStr">
        <is>
          <t>Reply timing</t>
        </is>
      </c>
      <c r="G1" s="10" t="inlineStr">
        <is>
          <t>Outcome</t>
        </is>
      </c>
      <c r="H1" s="10" t="inlineStr">
        <is>
          <t>Notes</t>
        </is>
      </c>
    </row>
  </sheetData>
  <dataValidations count="5">
    <dataValidation sqref="B2:B1000" showDropDown="0" showInputMessage="0" showErrorMessage="0" allowBlank="1" type="list">
      <formula1>"Email warm,Email cold-warm,LinkedIn DM warm,LinkedIn DM cold,Text,LinkedIn post"</formula1>
    </dataValidation>
    <dataValidation sqref="D2:D1000" showDropDown="0" showInputMessage="0" showErrorMessage="0" allowBlank="1" type="list">
      <formula1>"Script 1,Script 2,Script 3,Script 4,Script 5,Other"</formula1>
    </dataValidation>
    <dataValidation sqref="E2:E1000" showDropDown="0" showInputMessage="0" showErrorMessage="0" allowBlank="1" type="list">
      <formula1>"Yes,No"</formula1>
    </dataValidation>
    <dataValidation sqref="F2:F1000" showDropDown="0" showInputMessage="0" showErrorMessage="0" allowBlank="1" type="list">
      <formula1>"&lt;24h,1-3 days,4-7 days,8+ days,No reply"</formula1>
    </dataValidation>
    <dataValidation sqref="G2:G1000" showDropDown="0" showInputMessage="0" showErrorMessage="0" allowBlank="1" type="list">
      <formula1>"Booked,Deferred,Declined,No reply"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 ht="24" customHeight="1">
      <c r="A1" s="10" t="inlineStr">
        <is>
          <t>Date posted</t>
        </is>
      </c>
      <c r="B1" s="10" t="inlineStr">
        <is>
          <t>Post title</t>
        </is>
      </c>
      <c r="C1" s="10" t="inlineStr">
        <is>
          <t>Impressions</t>
        </is>
      </c>
      <c r="D1" s="10" t="inlineStr">
        <is>
          <t>Comments</t>
        </is>
      </c>
      <c r="E1" s="10" t="inlineStr">
        <is>
          <t>DMs received</t>
        </is>
      </c>
      <c r="F1" s="10" t="inlineStr">
        <is>
          <t>Calls booked</t>
        </is>
      </c>
      <c r="G1" s="10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50" customWidth="1" min="11" max="11"/>
  </cols>
  <sheetData>
    <row r="1" ht="24" customHeight="1">
      <c r="A1" s="10" t="inlineStr">
        <is>
          <t>Week of (Mon)</t>
        </is>
      </c>
      <c r="B1" s="10" t="inlineStr">
        <is>
          <t>Outreach sent</t>
        </is>
      </c>
      <c r="C1" s="10" t="inlineStr">
        <is>
          <t>Calls booked</t>
        </is>
      </c>
      <c r="D1" s="10" t="inlineStr">
        <is>
          <t>Calls completed</t>
        </is>
      </c>
      <c r="E1" s="10" t="inlineStr">
        <is>
          <t>Memos delivered</t>
        </is>
      </c>
      <c r="F1" s="10" t="inlineStr">
        <is>
          <t>Follow-ups sent</t>
        </is>
      </c>
      <c r="G1" s="10" t="inlineStr">
        <is>
          <t>Bids scored</t>
        </is>
      </c>
      <c r="H1" s="10" t="inlineStr">
        <is>
          <t>Trials started</t>
        </is>
      </c>
      <c r="I1" s="10" t="inlineStr">
        <is>
          <t>Paid conversions</t>
        </is>
      </c>
      <c r="J1" s="10" t="inlineStr">
        <is>
          <t>Net new MRR ($)</t>
        </is>
      </c>
      <c r="K1" s="10" t="inlineStr">
        <is>
          <t>Notes</t>
        </is>
      </c>
    </row>
    <row r="2">
      <c r="J2" s="16" t="n"/>
    </row>
    <row r="3">
      <c r="J3" s="16" t="n"/>
    </row>
    <row r="4">
      <c r="J4" s="16" t="n"/>
    </row>
    <row r="5">
      <c r="J5" s="16" t="n"/>
    </row>
    <row r="6">
      <c r="J6" s="16" t="n"/>
    </row>
    <row r="7">
      <c r="J7" s="16" t="n"/>
    </row>
    <row r="8">
      <c r="J8" s="16" t="n"/>
    </row>
    <row r="9">
      <c r="J9" s="16" t="n"/>
    </row>
    <row r="10">
      <c r="J10" s="16" t="n"/>
    </row>
    <row r="11">
      <c r="J11" s="16" t="n"/>
    </row>
    <row r="12">
      <c r="J12" s="16" t="n"/>
    </row>
    <row r="13">
      <c r="J13" s="16" t="n"/>
    </row>
    <row r="14">
      <c r="J14" s="16" t="n"/>
    </row>
    <row r="15">
      <c r="J15" s="16" t="n"/>
    </row>
    <row r="16">
      <c r="J16" s="16" t="n"/>
    </row>
    <row r="17">
      <c r="J17" s="16" t="n"/>
    </row>
    <row r="18">
      <c r="J18" s="16" t="n"/>
    </row>
    <row r="19">
      <c r="J19" s="16" t="n"/>
    </row>
    <row r="20">
      <c r="J20" s="16" t="n"/>
    </row>
    <row r="21">
      <c r="J21" s="16" t="n"/>
    </row>
    <row r="22">
      <c r="J22" s="16" t="n"/>
    </row>
    <row r="23">
      <c r="J23" s="16" t="n"/>
    </row>
    <row r="24">
      <c r="J24" s="16" t="n"/>
    </row>
    <row r="25">
      <c r="J25" s="16" t="n"/>
    </row>
    <row r="26">
      <c r="J26" s="16" t="n"/>
    </row>
    <row r="27">
      <c r="J27" s="16" t="n"/>
    </row>
    <row r="28">
      <c r="J28" s="16" t="n"/>
    </row>
    <row r="29">
      <c r="J29" s="16" t="n"/>
    </row>
    <row r="30">
      <c r="J30" s="16" t="n"/>
    </row>
    <row r="31">
      <c r="J31" s="16" t="n"/>
    </row>
    <row r="32">
      <c r="J32" s="16" t="n"/>
    </row>
    <row r="33">
      <c r="J33" s="16" t="n"/>
    </row>
    <row r="34">
      <c r="J34" s="16" t="n"/>
    </row>
    <row r="35">
      <c r="J35" s="16" t="n"/>
    </row>
    <row r="36">
      <c r="J36" s="16" t="n"/>
    </row>
    <row r="37">
      <c r="J37" s="16" t="n"/>
    </row>
    <row r="38">
      <c r="J38" s="16" t="n"/>
    </row>
    <row r="39">
      <c r="J39" s="16" t="n"/>
    </row>
    <row r="40">
      <c r="J40" s="16" t="n"/>
    </row>
    <row r="41">
      <c r="J41" s="16" t="n"/>
    </row>
    <row r="42">
      <c r="J42" s="16" t="n"/>
    </row>
    <row r="43">
      <c r="J43" s="16" t="n"/>
    </row>
    <row r="44">
      <c r="J44" s="16" t="n"/>
    </row>
    <row r="45">
      <c r="J45" s="16" t="n"/>
    </row>
    <row r="46">
      <c r="J46" s="16" t="n"/>
    </row>
    <row r="47">
      <c r="J47" s="16" t="n"/>
    </row>
    <row r="48">
      <c r="J48" s="16" t="n"/>
    </row>
    <row r="49">
      <c r="J49" s="16" t="n"/>
    </row>
    <row r="50">
      <c r="J50" s="16" t="n"/>
    </row>
    <row r="51">
      <c r="J51" s="16" t="n"/>
    </row>
    <row r="52">
      <c r="J52" s="16" t="n"/>
    </row>
    <row r="53">
      <c r="J53" s="16" t="n"/>
    </row>
    <row r="54">
      <c r="J54" s="16" t="n"/>
    </row>
    <row r="55">
      <c r="J55" s="16" t="n"/>
    </row>
    <row r="56">
      <c r="J56" s="16" t="n"/>
    </row>
    <row r="57">
      <c r="J57" s="16" t="n"/>
    </row>
    <row r="58">
      <c r="J58" s="16" t="n"/>
    </row>
    <row r="59">
      <c r="J59" s="16" t="n"/>
    </row>
    <row r="60">
      <c r="J60" s="16" t="n"/>
    </row>
    <row r="61">
      <c r="J61" s="16" t="n"/>
    </row>
    <row r="62">
      <c r="J62" s="16" t="n"/>
    </row>
    <row r="63">
      <c r="J63" s="16" t="n"/>
    </row>
    <row r="64">
      <c r="J64" s="16" t="n"/>
    </row>
    <row r="65">
      <c r="J65" s="16" t="n"/>
    </row>
    <row r="66">
      <c r="J66" s="16" t="n"/>
    </row>
    <row r="67">
      <c r="J67" s="16" t="n"/>
    </row>
    <row r="68">
      <c r="J68" s="16" t="n"/>
    </row>
    <row r="69">
      <c r="J69" s="16" t="n"/>
    </row>
    <row r="70">
      <c r="J70" s="16" t="n"/>
    </row>
    <row r="71">
      <c r="J71" s="16" t="n"/>
    </row>
    <row r="72">
      <c r="J72" s="16" t="n"/>
    </row>
    <row r="73">
      <c r="J73" s="16" t="n"/>
    </row>
    <row r="74">
      <c r="J74" s="16" t="n"/>
    </row>
    <row r="75">
      <c r="J75" s="16" t="n"/>
    </row>
    <row r="76">
      <c r="J76" s="16" t="n"/>
    </row>
    <row r="77">
      <c r="J77" s="16" t="n"/>
    </row>
    <row r="78">
      <c r="J78" s="16" t="n"/>
    </row>
    <row r="79">
      <c r="J79" s="16" t="n"/>
    </row>
    <row r="80">
      <c r="J80" s="16" t="n"/>
    </row>
    <row r="81">
      <c r="J81" s="16" t="n"/>
    </row>
    <row r="82">
      <c r="J82" s="16" t="n"/>
    </row>
    <row r="83">
      <c r="J83" s="16" t="n"/>
    </row>
    <row r="84">
      <c r="J84" s="16" t="n"/>
    </row>
    <row r="85">
      <c r="J85" s="16" t="n"/>
    </row>
    <row r="86">
      <c r="J86" s="16" t="n"/>
    </row>
    <row r="87">
      <c r="J87" s="16" t="n"/>
    </row>
    <row r="88">
      <c r="J88" s="16" t="n"/>
    </row>
    <row r="89">
      <c r="J89" s="16" t="n"/>
    </row>
    <row r="90">
      <c r="J90" s="16" t="n"/>
    </row>
    <row r="91">
      <c r="J91" s="16" t="n"/>
    </row>
    <row r="92">
      <c r="J92" s="16" t="n"/>
    </row>
    <row r="93">
      <c r="J93" s="16" t="n"/>
    </row>
    <row r="94">
      <c r="J94" s="16" t="n"/>
    </row>
    <row r="95">
      <c r="J95" s="16" t="n"/>
    </row>
    <row r="96">
      <c r="J96" s="16" t="n"/>
    </row>
    <row r="97">
      <c r="J97" s="16" t="n"/>
    </row>
    <row r="98">
      <c r="J98" s="16" t="n"/>
    </row>
    <row r="99">
      <c r="J99" s="16" t="n"/>
    </row>
    <row r="100">
      <c r="J100" s="16" t="n"/>
    </row>
    <row r="101">
      <c r="J101" s="16" t="n"/>
    </row>
    <row r="102">
      <c r="J102" s="16" t="n"/>
    </row>
    <row r="103">
      <c r="J103" s="16" t="n"/>
    </row>
    <row r="104">
      <c r="J104" s="16" t="n"/>
    </row>
    <row r="105">
      <c r="J105" s="16" t="n"/>
    </row>
    <row r="106">
      <c r="J106" s="16" t="n"/>
    </row>
    <row r="107">
      <c r="J107" s="16" t="n"/>
    </row>
    <row r="108">
      <c r="J108" s="16" t="n"/>
    </row>
    <row r="109">
      <c r="J109" s="16" t="n"/>
    </row>
    <row r="110">
      <c r="J110" s="16" t="n"/>
    </row>
    <row r="111">
      <c r="J111" s="16" t="n"/>
    </row>
    <row r="112">
      <c r="J112" s="16" t="n"/>
    </row>
    <row r="113">
      <c r="J113" s="16" t="n"/>
    </row>
    <row r="114">
      <c r="J114" s="16" t="n"/>
    </row>
    <row r="115">
      <c r="J115" s="16" t="n"/>
    </row>
    <row r="116">
      <c r="J116" s="16" t="n"/>
    </row>
    <row r="117">
      <c r="J117" s="16" t="n"/>
    </row>
    <row r="118">
      <c r="J118" s="16" t="n"/>
    </row>
    <row r="119">
      <c r="J119" s="16" t="n"/>
    </row>
    <row r="120">
      <c r="J120" s="16" t="n"/>
    </row>
    <row r="121">
      <c r="J121" s="16" t="n"/>
    </row>
    <row r="122">
      <c r="J122" s="16" t="n"/>
    </row>
    <row r="123">
      <c r="J123" s="16" t="n"/>
    </row>
    <row r="124">
      <c r="J124" s="16" t="n"/>
    </row>
    <row r="125">
      <c r="J125" s="16" t="n"/>
    </row>
    <row r="126">
      <c r="J126" s="16" t="n"/>
    </row>
    <row r="127">
      <c r="J127" s="16" t="n"/>
    </row>
    <row r="128">
      <c r="J128" s="16" t="n"/>
    </row>
    <row r="129">
      <c r="J129" s="16" t="n"/>
    </row>
    <row r="130">
      <c r="J130" s="16" t="n"/>
    </row>
    <row r="131">
      <c r="J131" s="16" t="n"/>
    </row>
    <row r="132">
      <c r="J132" s="16" t="n"/>
    </row>
    <row r="133">
      <c r="J133" s="16" t="n"/>
    </row>
    <row r="134">
      <c r="J134" s="16" t="n"/>
    </row>
    <row r="135">
      <c r="J135" s="16" t="n"/>
    </row>
    <row r="136">
      <c r="J136" s="16" t="n"/>
    </row>
    <row r="137">
      <c r="J137" s="16" t="n"/>
    </row>
    <row r="138">
      <c r="J138" s="16" t="n"/>
    </row>
    <row r="139">
      <c r="J139" s="16" t="n"/>
    </row>
    <row r="140">
      <c r="J140" s="16" t="n"/>
    </row>
    <row r="141">
      <c r="J141" s="16" t="n"/>
    </row>
    <row r="142">
      <c r="J142" s="16" t="n"/>
    </row>
    <row r="143">
      <c r="J143" s="16" t="n"/>
    </row>
    <row r="144">
      <c r="J144" s="16" t="n"/>
    </row>
    <row r="145">
      <c r="J145" s="16" t="n"/>
    </row>
    <row r="146">
      <c r="J146" s="16" t="n"/>
    </row>
    <row r="147">
      <c r="J147" s="16" t="n"/>
    </row>
    <row r="148">
      <c r="J148" s="16" t="n"/>
    </row>
    <row r="149">
      <c r="J149" s="16" t="n"/>
    </row>
    <row r="150">
      <c r="J150" s="16" t="n"/>
    </row>
    <row r="151">
      <c r="J151" s="16" t="n"/>
    </row>
    <row r="152">
      <c r="J152" s="16" t="n"/>
    </row>
    <row r="153">
      <c r="J153" s="16" t="n"/>
    </row>
    <row r="154">
      <c r="J154" s="16" t="n"/>
    </row>
    <row r="155">
      <c r="J155" s="16" t="n"/>
    </row>
    <row r="156">
      <c r="J156" s="16" t="n"/>
    </row>
    <row r="157">
      <c r="J157" s="16" t="n"/>
    </row>
    <row r="158">
      <c r="J158" s="16" t="n"/>
    </row>
    <row r="159">
      <c r="J159" s="16" t="n"/>
    </row>
    <row r="160">
      <c r="J160" s="16" t="n"/>
    </row>
    <row r="161">
      <c r="J161" s="16" t="n"/>
    </row>
    <row r="162">
      <c r="J162" s="16" t="n"/>
    </row>
    <row r="163">
      <c r="J163" s="16" t="n"/>
    </row>
    <row r="164">
      <c r="J164" s="16" t="n"/>
    </row>
    <row r="165">
      <c r="J165" s="16" t="n"/>
    </row>
    <row r="166">
      <c r="J166" s="16" t="n"/>
    </row>
    <row r="167">
      <c r="J167" s="16" t="n"/>
    </row>
    <row r="168">
      <c r="J168" s="16" t="n"/>
    </row>
    <row r="169">
      <c r="J169" s="16" t="n"/>
    </row>
    <row r="170">
      <c r="J170" s="16" t="n"/>
    </row>
    <row r="171">
      <c r="J171" s="16" t="n"/>
    </row>
    <row r="172">
      <c r="J172" s="16" t="n"/>
    </row>
    <row r="173">
      <c r="J173" s="16" t="n"/>
    </row>
    <row r="174">
      <c r="J174" s="16" t="n"/>
    </row>
    <row r="175">
      <c r="J175" s="16" t="n"/>
    </row>
    <row r="176">
      <c r="J176" s="16" t="n"/>
    </row>
    <row r="177">
      <c r="J177" s="16" t="n"/>
    </row>
    <row r="178">
      <c r="J178" s="16" t="n"/>
    </row>
    <row r="179">
      <c r="J179" s="16" t="n"/>
    </row>
    <row r="180">
      <c r="J180" s="16" t="n"/>
    </row>
    <row r="181">
      <c r="J181" s="16" t="n"/>
    </row>
    <row r="182">
      <c r="J182" s="16" t="n"/>
    </row>
    <row r="183">
      <c r="J183" s="16" t="n"/>
    </row>
    <row r="184">
      <c r="J184" s="16" t="n"/>
    </row>
    <row r="185">
      <c r="J185" s="16" t="n"/>
    </row>
    <row r="186">
      <c r="J186" s="16" t="n"/>
    </row>
    <row r="187">
      <c r="J187" s="16" t="n"/>
    </row>
    <row r="188">
      <c r="J188" s="16" t="n"/>
    </row>
    <row r="189">
      <c r="J189" s="16" t="n"/>
    </row>
    <row r="190">
      <c r="J190" s="16" t="n"/>
    </row>
    <row r="191">
      <c r="J191" s="16" t="n"/>
    </row>
    <row r="192">
      <c r="J192" s="16" t="n"/>
    </row>
    <row r="193">
      <c r="J193" s="16" t="n"/>
    </row>
    <row r="194">
      <c r="J194" s="16" t="n"/>
    </row>
    <row r="195">
      <c r="J195" s="16" t="n"/>
    </row>
    <row r="196">
      <c r="J196" s="16" t="n"/>
    </row>
    <row r="197">
      <c r="J197" s="16" t="n"/>
    </row>
    <row r="198">
      <c r="J198" s="16" t="n"/>
    </row>
    <row r="199">
      <c r="J199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2026-05-09T14:13:19Z</dcterms:created>
  <dcterms:modified xmlns:dcterms="http://purl.org/dc/terms/" xmlns:xsi="http://www.w3.org/2001/XMLSchema-instance" xsi:type="dcterms:W3CDTF">2026-05-09T14:13:19Z</dcterms:modified>
</cp:coreProperties>
</file>